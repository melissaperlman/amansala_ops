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<sst xmlns="http://schemas.openxmlformats.org/spreadsheetml/2006/main" count="85" uniqueCount="47">
  <si>
    <t xml:space="preserve">Amansala · Tulum  —  Teacher Schedule &amp; Preferences</t>
  </si>
  <si>
    <t xml:space="preserve">Fill in the yellow cells and dropdowns, then share back with Melissa</t>
  </si>
  <si>
    <t xml:space="preserve">Teacher name</t>
  </si>
  <si>
    <t xml:space="preserve">Group / retreat name</t>
  </si>
  <si>
    <t xml:space="preserve">Number of guests</t>
  </si>
  <si>
    <t xml:space="preserve">Arrival date</t>
  </si>
  <si>
    <t xml:space="preserve">Departure date</t>
  </si>
  <si>
    <t xml:space="preserve">Vegetarians:</t>
  </si>
  <si>
    <t xml:space="preserve">Vegans:</t>
  </si>
  <si>
    <t xml:space="preserve">Severe allergies:</t>
  </si>
  <si>
    <t xml:space="preserve">We do not need gluten-free, dairy-free, or no-red-meat counts — only vegetarian/vegan and severe allergies. Life-threatening allergies: guest must travel with an EpiPen.</t>
  </si>
  <si>
    <t xml:space="preserve">Time Block  ▾</t>
  </si>
  <si>
    <t xml:space="preserve">Activity</t>
  </si>
  <si>
    <t xml:space="preserve">Paid  ▾</t>
  </si>
  <si>
    <t xml:space="preserve">Room  ▾</t>
  </si>
  <si>
    <t xml:space="preserve">Noise  ▾</t>
  </si>
  <si>
    <t xml:space="preserve">Special requests</t>
  </si>
  <si>
    <t xml:space="preserve">4:00 pm</t>
  </si>
  <si>
    <t xml:space="preserve">Welcome snack  —  all groups</t>
  </si>
  <si>
    <t xml:space="preserve">Opening yoga</t>
  </si>
  <si>
    <t xml:space="preserve">7:30 pm</t>
  </si>
  <si>
    <t xml:space="preserve">Dinner</t>
  </si>
  <si>
    <t xml:space="preserve">7:00 am</t>
  </si>
  <si>
    <t xml:space="preserve">Light breakfast</t>
  </si>
  <si>
    <t xml:space="preserve">Morning class</t>
  </si>
  <si>
    <t xml:space="preserve">10:45 am</t>
  </si>
  <si>
    <t xml:space="preserve">Brunch</t>
  </si>
  <si>
    <t xml:space="preserve">2:30 pm</t>
  </si>
  <si>
    <t xml:space="preserve">Snack</t>
  </si>
  <si>
    <t xml:space="preserve">Afternoon yoga</t>
  </si>
  <si>
    <t xml:space="preserve">11:45 am – 2:00 pm</t>
  </si>
  <si>
    <t xml:space="preserve">Tour  ▾</t>
  </si>
  <si>
    <t xml:space="preserve">3:00 pm</t>
  </si>
  <si>
    <t xml:space="preserve">Cooking class  —  Included</t>
  </si>
  <si>
    <t xml:space="preserve">7:15 pm</t>
  </si>
  <si>
    <t xml:space="preserve">Temazcal</t>
  </si>
  <si>
    <t xml:space="preserve">Dinner  (late if temazcal)</t>
  </si>
  <si>
    <t xml:space="preserve">3:00 – 4:00 pm</t>
  </si>
  <si>
    <t xml:space="preserve">Soul service</t>
  </si>
  <si>
    <t xml:space="preserve">Cacao + Sound Healing</t>
  </si>
  <si>
    <t xml:space="preserve">3:00 – 3:30 pm</t>
  </si>
  <si>
    <t xml:space="preserve">Mayan Clay</t>
  </si>
  <si>
    <t xml:space="preserve">Afternoon class</t>
  </si>
  <si>
    <t xml:space="preserve">After dinner</t>
  </si>
  <si>
    <t xml:space="preserve">Salsa class</t>
  </si>
  <si>
    <t xml:space="preserve">Full breakfast  —  departures</t>
  </si>
  <si>
    <t xml:space="preserve">Questions? Contact Melissa  ·  melissa@amansala.com  ·  amansala.com  ·  @amansalatulum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</si>
</sst>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&quot;, &quot;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A7B88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3333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7F7F7"/>
      </patternFill>
    </fill>
    <fill>
      <patternFill patternType="solid">
        <fgColor rgb="FF2A7B88"/>
        <bgColor rgb="FF008080"/>
      </patternFill>
    </fill>
    <fill>
      <patternFill patternType="solid">
        <fgColor rgb="FFC4775B"/>
        <bgColor rgb="FF888888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7B88"/>
      <rgbColor rgb="FFC0C0C0"/>
      <rgbColor rgb="FF888888"/>
      <rgbColor rgb="FF9999FF"/>
      <rgbColor rgb="FF993366"/>
      <rgbColor rgb="FFFFF2CC"/>
      <rgbColor rgb="FFF7F7F7"/>
      <rgbColor rgb="FF660066"/>
      <rgbColor rgb="FFC4775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8" min="7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4"/>
      <c r="C3" s="5" t="s">
        <v>3</v>
      </c>
      <c r="D3" s="5"/>
      <c r="E3" s="4"/>
    </row>
    <row r="4" customFormat="false" ht="15" hidden="false" customHeight="false" outlineLevel="0" collapsed="false">
      <c r="A4" s="3" t="s">
        <v>4</v>
      </c>
      <c r="B4" s="4"/>
      <c r="C4" s="3"/>
      <c r="E4" s="6" t="s">
        <v>5</v>
      </c>
      <c r="F4" s="7"/>
      <c r="G4" s="3" t="s">
        <v>6</v>
      </c>
      <c r="H4" s="7"/>
    </row>
    <row r="5" customFormat="false" ht="25.5" hidden="false" customHeight="true" outlineLevel="0" collapsed="false">
      <c r="A5" s="8" t="s">
        <v>7</v>
      </c>
      <c r="B5" s="9"/>
      <c r="C5" s="8" t="s">
        <v>8</v>
      </c>
      <c r="D5" s="9"/>
      <c r="E5" s="10" t="s">
        <v>9</v>
      </c>
      <c r="F5" s="10"/>
    </row>
    <row r="6" customFormat="false" ht="30" hidden="false" customHeight="true" outlineLevel="0" collapsed="false">
      <c r="A6" s="11" t="s">
        <v>10</v>
      </c>
      <c r="B6" s="11"/>
      <c r="C6" s="11"/>
      <c r="D6" s="11"/>
      <c r="E6" s="11"/>
      <c r="F6" s="11"/>
    </row>
    <row r="7" customFormat="false" ht="6" hidden="false" customHeight="true" outlineLevel="0" collapsed="false"/>
    <row r="8" customFormat="false" ht="27.75" hidden="false" customHeight="true" outlineLevel="0" collapsed="false">
      <c r="A8" s="12" t="s">
        <v>11</v>
      </c>
      <c r="B8" s="12" t="s">
        <v>12</v>
      </c>
      <c r="C8" s="12" t="s">
        <v>13</v>
      </c>
      <c r="D8" s="12" t="s">
        <v>14</v>
      </c>
      <c r="E8" s="12" t="s">
        <v>15</v>
      </c>
      <c r="F8" s="12" t="s">
        <v>16</v>
      </c>
    </row>
    <row r="9" customFormat="false" ht="25.5" hidden="false" customHeight="true" outlineLevel="0" collapsed="false">
      <c r="A9" s="13" t="str">
        <f aca="false">"Day 1  —  Arrival  " &amp; IF($F$4="","",TEXT($F$4,"dddd, mmmm d"))</f>
        <v>Day 1  —  Arrival  </v>
      </c>
      <c r="B9" s="13"/>
      <c r="C9" s="13"/>
      <c r="D9" s="13"/>
      <c r="E9" s="13"/>
      <c r="F9" s="13"/>
    </row>
    <row r="10" customFormat="false" ht="21.75" hidden="false" customHeight="true" outlineLevel="0" collapsed="false">
      <c r="A10" s="14" t="s">
        <v>17</v>
      </c>
      <c r="B10" s="14" t="s">
        <v>18</v>
      </c>
      <c r="C10" s="15"/>
      <c r="D10" s="15"/>
      <c r="E10" s="15"/>
      <c r="F10" s="15"/>
    </row>
    <row r="11" customFormat="false" ht="21.75" hidden="false" customHeight="true" outlineLevel="0" collapsed="false">
      <c r="A11" s="16"/>
      <c r="B11" s="17" t="s">
        <v>19</v>
      </c>
      <c r="C11" s="18"/>
      <c r="D11" s="19"/>
      <c r="E11" s="19"/>
      <c r="F11" s="19"/>
    </row>
    <row r="12" customFormat="false" ht="21.75" hidden="false" customHeight="true" outlineLevel="0" collapsed="false">
      <c r="A12" s="14" t="s">
        <v>20</v>
      </c>
      <c r="B12" s="14" t="s">
        <v>21</v>
      </c>
      <c r="C12" s="15"/>
      <c r="D12" s="15"/>
      <c r="E12" s="15"/>
      <c r="F12" s="15"/>
    </row>
    <row r="13" customFormat="false" ht="25.5" hidden="false" customHeight="true" outlineLevel="0" collapsed="false">
      <c r="A13" s="13" t="str">
        <f aca="false">"Day 2  —  " &amp; IF($F$4="","",TEXT($F$4+1,"dddd, mmmm d"))</f>
        <v>Day 2  —  </v>
      </c>
      <c r="B13" s="13"/>
      <c r="C13" s="13"/>
      <c r="D13" s="13"/>
      <c r="E13" s="13"/>
      <c r="F13" s="13"/>
    </row>
    <row r="14" customFormat="false" ht="21.75" hidden="false" customHeight="true" outlineLevel="0" collapsed="false">
      <c r="A14" s="14" t="s">
        <v>22</v>
      </c>
      <c r="B14" s="14" t="s">
        <v>23</v>
      </c>
      <c r="C14" s="15"/>
      <c r="D14" s="15"/>
      <c r="E14" s="15"/>
      <c r="F14" s="15"/>
    </row>
    <row r="15" customFormat="false" ht="21.75" hidden="false" customHeight="true" outlineLevel="0" collapsed="false">
      <c r="A15" s="16"/>
      <c r="B15" s="17" t="s">
        <v>24</v>
      </c>
      <c r="C15" s="18"/>
      <c r="D15" s="19"/>
      <c r="E15" s="19"/>
      <c r="F15" s="19"/>
    </row>
    <row r="16" customFormat="false" ht="21.75" hidden="false" customHeight="true" outlineLevel="0" collapsed="false">
      <c r="A16" s="14" t="s">
        <v>25</v>
      </c>
      <c r="B16" s="14" t="s">
        <v>26</v>
      </c>
      <c r="C16" s="15"/>
      <c r="D16" s="15"/>
      <c r="E16" s="15"/>
      <c r="F16" s="15"/>
    </row>
    <row r="17" customFormat="false" ht="21.75" hidden="false" customHeight="true" outlineLevel="0" collapsed="false">
      <c r="A17" s="14" t="s">
        <v>27</v>
      </c>
      <c r="B17" s="14" t="s">
        <v>28</v>
      </c>
      <c r="C17" s="15"/>
      <c r="D17" s="15"/>
      <c r="E17" s="15"/>
      <c r="F17" s="15"/>
    </row>
    <row r="18" customFormat="false" ht="21.75" hidden="false" customHeight="true" outlineLevel="0" collapsed="false">
      <c r="A18" s="16"/>
      <c r="B18" s="17" t="s">
        <v>29</v>
      </c>
      <c r="C18" s="18"/>
      <c r="D18" s="19"/>
      <c r="E18" s="19"/>
      <c r="F18" s="19"/>
    </row>
    <row r="19" customFormat="false" ht="21.75" hidden="false" customHeight="true" outlineLevel="0" collapsed="false">
      <c r="A19" s="14" t="s">
        <v>20</v>
      </c>
      <c r="B19" s="14" t="s">
        <v>21</v>
      </c>
      <c r="C19" s="15"/>
      <c r="D19" s="15"/>
      <c r="E19" s="15"/>
      <c r="F19" s="15"/>
    </row>
    <row r="20" customFormat="false" ht="25.5" hidden="false" customHeight="true" outlineLevel="0" collapsed="false">
      <c r="A20" s="13" t="str">
        <f aca="false">"Day 3  —  " &amp; IF($F$4="","",TEXT($F$4+2,"dddd, mmmm d"))</f>
        <v>Day 3  —  </v>
      </c>
      <c r="B20" s="13"/>
      <c r="C20" s="13"/>
      <c r="D20" s="13"/>
      <c r="E20" s="13"/>
      <c r="F20" s="13"/>
    </row>
    <row r="21" customFormat="false" ht="21.75" hidden="false" customHeight="true" outlineLevel="0" collapsed="false">
      <c r="A21" s="14" t="s">
        <v>22</v>
      </c>
      <c r="B21" s="14" t="s">
        <v>23</v>
      </c>
      <c r="C21" s="15"/>
      <c r="D21" s="15"/>
      <c r="E21" s="15"/>
      <c r="F21" s="15"/>
    </row>
    <row r="22" customFormat="false" ht="21.75" hidden="false" customHeight="true" outlineLevel="0" collapsed="false">
      <c r="A22" s="16"/>
      <c r="B22" s="17" t="s">
        <v>24</v>
      </c>
      <c r="C22" s="18"/>
      <c r="D22" s="19"/>
      <c r="E22" s="19"/>
      <c r="F22" s="19"/>
    </row>
    <row r="23" customFormat="false" ht="21.75" hidden="false" customHeight="true" outlineLevel="0" collapsed="false">
      <c r="A23" s="14" t="s">
        <v>25</v>
      </c>
      <c r="B23" s="14" t="s">
        <v>26</v>
      </c>
      <c r="C23" s="15"/>
      <c r="D23" s="15"/>
      <c r="E23" s="15"/>
      <c r="F23" s="15"/>
    </row>
    <row r="24" customFormat="false" ht="21.75" hidden="false" customHeight="true" outlineLevel="0" collapsed="false">
      <c r="A24" s="17" t="s">
        <v>30</v>
      </c>
      <c r="B24" s="20" t="s">
        <v>31</v>
      </c>
      <c r="C24" s="19"/>
      <c r="D24" s="18"/>
      <c r="E24" s="18"/>
      <c r="F24" s="19"/>
    </row>
    <row r="25" customFormat="false" ht="21.75" hidden="false" customHeight="true" outlineLevel="0" collapsed="false">
      <c r="A25" s="14" t="s">
        <v>27</v>
      </c>
      <c r="B25" s="14" t="s">
        <v>28</v>
      </c>
      <c r="C25" s="15"/>
      <c r="D25" s="15"/>
      <c r="E25" s="15"/>
      <c r="F25" s="15"/>
    </row>
    <row r="26" customFormat="false" ht="21.75" hidden="false" customHeight="true" outlineLevel="0" collapsed="false">
      <c r="A26" s="17" t="s">
        <v>32</v>
      </c>
      <c r="B26" s="17" t="s">
        <v>33</v>
      </c>
      <c r="C26" s="18"/>
      <c r="D26" s="18"/>
      <c r="E26" s="18"/>
      <c r="F26" s="18"/>
    </row>
    <row r="27" customFormat="false" ht="21.75" hidden="false" customHeight="true" outlineLevel="0" collapsed="false">
      <c r="A27" s="16"/>
      <c r="B27" s="17" t="s">
        <v>29</v>
      </c>
      <c r="C27" s="18"/>
      <c r="D27" s="19"/>
      <c r="E27" s="19"/>
      <c r="F27" s="19"/>
    </row>
    <row r="28" customFormat="false" ht="21.75" hidden="false" customHeight="true" outlineLevel="0" collapsed="false">
      <c r="A28" s="17" t="s">
        <v>34</v>
      </c>
      <c r="B28" s="17" t="s">
        <v>35</v>
      </c>
      <c r="C28" s="19"/>
      <c r="D28" s="18"/>
      <c r="E28" s="18"/>
      <c r="F28" s="19"/>
    </row>
    <row r="29" customFormat="false" ht="21.75" hidden="false" customHeight="true" outlineLevel="0" collapsed="false">
      <c r="A29" s="14" t="s">
        <v>20</v>
      </c>
      <c r="B29" s="14" t="s">
        <v>36</v>
      </c>
      <c r="C29" s="15"/>
      <c r="D29" s="15"/>
      <c r="E29" s="15"/>
      <c r="F29" s="15"/>
    </row>
    <row r="30" customFormat="false" ht="25.5" hidden="false" customHeight="true" outlineLevel="0" collapsed="false">
      <c r="A30" s="13" t="str">
        <f aca="false">"Day 4  —  " &amp; IF($F$4="","",TEXT($F$4+3,"dddd, mmmm d"))</f>
        <v>Day 4  —  </v>
      </c>
      <c r="B30" s="13"/>
      <c r="C30" s="13"/>
      <c r="D30" s="13"/>
      <c r="E30" s="13"/>
      <c r="F30" s="13"/>
    </row>
    <row r="31" customFormat="false" ht="21.75" hidden="false" customHeight="true" outlineLevel="0" collapsed="false">
      <c r="A31" s="14" t="s">
        <v>22</v>
      </c>
      <c r="B31" s="14" t="s">
        <v>23</v>
      </c>
      <c r="C31" s="15"/>
      <c r="D31" s="15"/>
      <c r="E31" s="15"/>
      <c r="F31" s="15"/>
    </row>
    <row r="32" customFormat="false" ht="21.75" hidden="false" customHeight="true" outlineLevel="0" collapsed="false">
      <c r="A32" s="16"/>
      <c r="B32" s="17" t="s">
        <v>24</v>
      </c>
      <c r="C32" s="18"/>
      <c r="D32" s="19"/>
      <c r="E32" s="19"/>
      <c r="F32" s="19"/>
    </row>
    <row r="33" customFormat="false" ht="21.75" hidden="false" customHeight="true" outlineLevel="0" collapsed="false">
      <c r="A33" s="14" t="s">
        <v>25</v>
      </c>
      <c r="B33" s="14" t="s">
        <v>26</v>
      </c>
      <c r="C33" s="15"/>
      <c r="D33" s="15"/>
      <c r="E33" s="15"/>
      <c r="F33" s="15"/>
    </row>
    <row r="34" customFormat="false" ht="21.75" hidden="false" customHeight="true" outlineLevel="0" collapsed="false">
      <c r="A34" s="17" t="s">
        <v>30</v>
      </c>
      <c r="B34" s="20" t="s">
        <v>31</v>
      </c>
      <c r="C34" s="19"/>
      <c r="D34" s="18"/>
      <c r="E34" s="18"/>
      <c r="F34" s="19"/>
    </row>
    <row r="35" customFormat="false" ht="21.75" hidden="false" customHeight="true" outlineLevel="0" collapsed="false">
      <c r="A35" s="14" t="s">
        <v>27</v>
      </c>
      <c r="B35" s="14" t="s">
        <v>28</v>
      </c>
      <c r="C35" s="15"/>
      <c r="D35" s="15"/>
      <c r="E35" s="15"/>
      <c r="F35" s="15"/>
    </row>
    <row r="36" customFormat="false" ht="21.75" hidden="false" customHeight="true" outlineLevel="0" collapsed="false">
      <c r="A36" s="17" t="s">
        <v>37</v>
      </c>
      <c r="B36" s="17" t="s">
        <v>38</v>
      </c>
      <c r="C36" s="19"/>
      <c r="D36" s="18"/>
      <c r="E36" s="18"/>
      <c r="F36" s="19"/>
    </row>
    <row r="37" customFormat="false" ht="21.75" hidden="false" customHeight="true" outlineLevel="0" collapsed="false">
      <c r="A37" s="16"/>
      <c r="B37" s="17" t="s">
        <v>29</v>
      </c>
      <c r="C37" s="18"/>
      <c r="D37" s="19"/>
      <c r="E37" s="19"/>
      <c r="F37" s="19"/>
    </row>
    <row r="38" customFormat="false" ht="21.75" hidden="false" customHeight="true" outlineLevel="0" collapsed="false">
      <c r="A38" s="17" t="s">
        <v>34</v>
      </c>
      <c r="B38" s="17" t="s">
        <v>39</v>
      </c>
      <c r="C38" s="19"/>
      <c r="D38" s="18"/>
      <c r="E38" s="18"/>
      <c r="F38" s="19"/>
    </row>
    <row r="39" customFormat="false" ht="21.75" hidden="false" customHeight="true" outlineLevel="0" collapsed="false">
      <c r="A39" s="14" t="s">
        <v>20</v>
      </c>
      <c r="B39" s="14" t="s">
        <v>21</v>
      </c>
      <c r="C39" s="15"/>
      <c r="D39" s="15"/>
      <c r="E39" s="15"/>
      <c r="F39" s="15"/>
    </row>
    <row r="40" customFormat="false" ht="25.5" hidden="false" customHeight="true" outlineLevel="0" collapsed="false">
      <c r="A40" s="13" t="str">
        <f aca="false">"Day 5  —  " &amp; IF($F$4="","",TEXT($F$4+4,"dddd, mmmm d"))</f>
        <v>Day 5  —  </v>
      </c>
      <c r="B40" s="13"/>
      <c r="C40" s="13"/>
      <c r="D40" s="13"/>
      <c r="E40" s="13"/>
      <c r="F40" s="13"/>
    </row>
    <row r="41" customFormat="false" ht="21.75" hidden="false" customHeight="true" outlineLevel="0" collapsed="false">
      <c r="A41" s="14" t="s">
        <v>22</v>
      </c>
      <c r="B41" s="14" t="s">
        <v>23</v>
      </c>
      <c r="C41" s="15"/>
      <c r="D41" s="15"/>
      <c r="E41" s="15"/>
      <c r="F41" s="15"/>
    </row>
    <row r="42" customFormat="false" ht="21.75" hidden="false" customHeight="true" outlineLevel="0" collapsed="false">
      <c r="A42" s="16"/>
      <c r="B42" s="17" t="s">
        <v>24</v>
      </c>
      <c r="C42" s="18"/>
      <c r="D42" s="19"/>
      <c r="E42" s="19"/>
      <c r="F42" s="19"/>
    </row>
    <row r="43" customFormat="false" ht="21.75" hidden="false" customHeight="true" outlineLevel="0" collapsed="false">
      <c r="A43" s="14" t="s">
        <v>25</v>
      </c>
      <c r="B43" s="14" t="s">
        <v>26</v>
      </c>
      <c r="C43" s="15"/>
      <c r="D43" s="15"/>
      <c r="E43" s="15"/>
      <c r="F43" s="15"/>
    </row>
    <row r="44" customFormat="false" ht="21.75" hidden="false" customHeight="true" outlineLevel="0" collapsed="false">
      <c r="A44" s="17" t="s">
        <v>30</v>
      </c>
      <c r="B44" s="20" t="s">
        <v>31</v>
      </c>
      <c r="C44" s="19"/>
      <c r="D44" s="18"/>
      <c r="E44" s="18"/>
      <c r="F44" s="19"/>
    </row>
    <row r="45" customFormat="false" ht="21.75" hidden="false" customHeight="true" outlineLevel="0" collapsed="false">
      <c r="A45" s="14" t="s">
        <v>27</v>
      </c>
      <c r="B45" s="14" t="s">
        <v>28</v>
      </c>
      <c r="C45" s="15"/>
      <c r="D45" s="15"/>
      <c r="E45" s="15"/>
      <c r="F45" s="15"/>
    </row>
    <row r="46" customFormat="false" ht="21.75" hidden="false" customHeight="true" outlineLevel="0" collapsed="false">
      <c r="A46" s="17" t="s">
        <v>40</v>
      </c>
      <c r="B46" s="17" t="s">
        <v>41</v>
      </c>
      <c r="C46" s="19"/>
      <c r="D46" s="18"/>
      <c r="E46" s="18"/>
      <c r="F46" s="19"/>
    </row>
    <row r="47" customFormat="false" ht="21.75" hidden="false" customHeight="true" outlineLevel="0" collapsed="false">
      <c r="A47" s="16"/>
      <c r="B47" s="17" t="s">
        <v>42</v>
      </c>
      <c r="C47" s="18"/>
      <c r="D47" s="19"/>
      <c r="E47" s="19"/>
      <c r="F47" s="19"/>
    </row>
    <row r="48" customFormat="false" ht="21.75" hidden="false" customHeight="true" outlineLevel="0" collapsed="false">
      <c r="A48" s="14" t="s">
        <v>20</v>
      </c>
      <c r="B48" s="14" t="s">
        <v>21</v>
      </c>
      <c r="C48" s="15"/>
      <c r="D48" s="15"/>
      <c r="E48" s="15"/>
      <c r="F48" s="15"/>
    </row>
    <row r="49" customFormat="false" ht="21.75" hidden="false" customHeight="true" outlineLevel="0" collapsed="false">
      <c r="A49" s="17" t="s">
        <v>43</v>
      </c>
      <c r="B49" s="17" t="s">
        <v>44</v>
      </c>
      <c r="C49" s="18"/>
      <c r="D49" s="18"/>
      <c r="E49" s="18"/>
      <c r="F49" s="18"/>
    </row>
    <row r="50" customFormat="false" ht="25.5" hidden="false" customHeight="true" outlineLevel="0" collapsed="false">
      <c r="A50" s="13" t="str">
        <f aca="false">"Day 6  —  Departures  " &amp; IF($F$4="","",TEXT($F$4+5,"dddd, mmmm d"))</f>
        <v>Day 6  —  Departures  </v>
      </c>
      <c r="B50" s="13"/>
      <c r="C50" s="13"/>
      <c r="D50" s="13"/>
      <c r="E50" s="13"/>
      <c r="F50" s="13"/>
    </row>
    <row r="51" customFormat="false" ht="21.75" hidden="false" customHeight="true" outlineLevel="0" collapsed="false">
      <c r="A51" s="14" t="s">
        <v>22</v>
      </c>
      <c r="B51" s="14" t="s">
        <v>23</v>
      </c>
      <c r="C51" s="15"/>
      <c r="D51" s="15"/>
      <c r="E51" s="15"/>
      <c r="F51" s="15"/>
    </row>
    <row r="52" customFormat="false" ht="21.75" hidden="false" customHeight="true" outlineLevel="0" collapsed="false">
      <c r="A52" s="16"/>
      <c r="B52" s="17" t="s">
        <v>24</v>
      </c>
      <c r="C52" s="18"/>
      <c r="D52" s="19"/>
      <c r="E52" s="19"/>
      <c r="F52" s="19"/>
    </row>
    <row r="53" customFormat="false" ht="21.75" hidden="false" customHeight="true" outlineLevel="0" collapsed="false">
      <c r="A53" s="14"/>
      <c r="B53" s="14" t="s">
        <v>45</v>
      </c>
      <c r="C53" s="15"/>
      <c r="D53" s="15"/>
      <c r="E53" s="15"/>
      <c r="F53" s="15"/>
    </row>
    <row r="55" customFormat="false" ht="15" hidden="false" customHeight="false" outlineLevel="0" collapsed="false">
      <c r="A55" s="21" t="s">
        <v>46</v>
      </c>
      <c r="B55" s="21"/>
      <c r="C55" s="21"/>
      <c r="D55" s="21"/>
      <c r="E55" s="21"/>
      <c r="F55" s="21"/>
    </row>
  </sheetData>
  <mergeCells count="12">
    <mergeCell ref="A1:F1"/>
    <mergeCell ref="A2:F2"/>
    <mergeCell ref="C3:D3"/>
    <mergeCell ref="E5:F5"/>
    <mergeCell ref="A6:F6"/>
    <mergeCell ref="A9:F9"/>
    <mergeCell ref="A13:F13"/>
    <mergeCell ref="A20:F20"/>
    <mergeCell ref="A30:F30"/>
    <mergeCell ref="A40:F40"/>
    <mergeCell ref="A50:F50"/>
    <mergeCell ref="A55:F55"/>
  </mergeCells>
  <dataValidations count="7">
    <dataValidation allowBlank="true" errorStyle="stop" operator="between" showDropDown="false" showErrorMessage="false" showInputMessage="false" sqref="B5 D5" type="list">
      <formula1>"0,1,2,3,4,5,6,7,8,9,10,11,12,13,14,15,16,17,18,19,20,21,22,23,24,25,26,27,28,29,30,31,32,33,34,35,36,37,38,39,40,41,42,43,44,45,46,47,48,49,50"</formula1>
      <formula2>0</formula2>
    </dataValidation>
    <dataValidation allowBlank="true" errorStyle="stop" operator="between" showDropDown="false" showErrorMessage="false" showInputMessage="false" sqref="A15 A22 A32 A42 A52" type="list">
      <formula1>"8:00 – 9:20am,9:30 – 10:45am,Other"</formula1>
      <formula2>0</formula2>
    </dataValidation>
    <dataValidation allowBlank="true" errorStyle="stop" operator="between" showDropDown="false" showErrorMessage="false" showInputMessage="false" sqref="A11 A18 A27 A37 A47" type="list">
      <formula1>"4:30 – 6:00pm,6:00 – 7:30pm"</formula1>
      <formula2>0</formula2>
    </dataValidation>
    <dataValidation allowBlank="true" errorStyle="stop" operator="between" showDropDown="false" showErrorMessage="false" showInputMessage="false" sqref="D11 D15 D18 D22 D27 D32 D37 D42 D47 D52" type="list">
      <formula1>"Sky,BF,Grande,Chica,Beach,Pool Deck"</formula1>
      <formula2>0</formula2>
    </dataValidation>
    <dataValidation allowBlank="true" errorStyle="stop" operator="between" showDropDown="false" showErrorMessage="false" showInputMessage="false" sqref="E11 E15 E18 E22 E27 E32 E37 E42 E47 E52" type="list">
      <formula1>"Low,Medium,High"</formula1>
      <formula2>0</formula2>
    </dataValidation>
    <dataValidation allowBlank="true" errorStyle="stop" operator="between" showDropDown="false" showErrorMessage="false" showInputMessage="false" sqref="B24 B34 B44" type="list">
      <formula1>"Tulum Ruins,Grande Cenote,Mangroves"</formula1>
      <formula2>0</formula2>
    </dataValidation>
    <dataValidation allowBlank="true" errorStyle="stop" operator="between" showDropDown="false" showErrorMessage="false" showInputMessage="false" sqref="C24 C28 C34 C36 C38 C44 C46" type="list">
      <formula1>"Prepaid / Included,Optional $65,Optional $75,Optional $85,Optional $___"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2026-03-12T21:47:59Z</dcterms:created>
  <dc:creator>openpyxl</dc:creator>
  <dc:description/>
  <dc:language>en-US</dc:language>
  <cp:lastModifiedBy/>
  <dcterms:modified xsi:type="dcterms:W3CDTF">2026-03-12T22:22:15Z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